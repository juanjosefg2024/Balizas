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 showObjects="none"/>
  <mc:AlternateContent xmlns:mc="http://schemas.openxmlformats.org/markup-compatibility/2006">
    <mc:Choice Requires="x15">
      <x15ac:absPath xmlns:x15ac="http://schemas.microsoft.com/office/spreadsheetml/2010/11/ac" url="https://gammasg-my.sharepoint.com/personal/juanjose_fernandez_diggia_com/Documents/Archivos de chat de Microsoft Teams/"/>
    </mc:Choice>
  </mc:AlternateContent>
  <xr:revisionPtr revIDLastSave="146" documentId="11_D83DBAF9B48FB125F5BEDAC3759D7962D3D2714C" xr6:coauthVersionLast="47" xr6:coauthVersionMax="47" xr10:uidLastSave="{0F41D26D-6ABC-40B6-AC1D-0C996ECB780B}"/>
  <bookViews>
    <workbookView xWindow="-4950" yWindow="-21720" windowWidth="38640" windowHeight="21840" xr2:uid="{00000000-000D-0000-FFFF-FFFF00000000}"/>
  </bookViews>
  <sheets>
    <sheet name="B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C2" i="2"/>
  <c r="M5" i="2"/>
  <c r="D5" i="2" s="1"/>
  <c r="L5" i="2"/>
  <c r="C5" i="2" s="1"/>
  <c r="L3" i="2"/>
  <c r="C3" i="2" s="1"/>
  <c r="L4" i="2"/>
  <c r="C4" i="2" s="1"/>
  <c r="L6" i="2"/>
  <c r="C6" i="2" s="1"/>
  <c r="L7" i="2"/>
  <c r="C7" i="2" s="1"/>
  <c r="L8" i="2"/>
  <c r="C8" i="2" s="1"/>
  <c r="L9" i="2"/>
  <c r="C9" i="2" s="1"/>
  <c r="L10" i="2"/>
  <c r="C10" i="2" s="1"/>
  <c r="L11" i="2"/>
  <c r="C11" i="2" s="1"/>
  <c r="L12" i="2"/>
  <c r="C12" i="2" s="1"/>
  <c r="L13" i="2"/>
  <c r="C13" i="2" s="1"/>
  <c r="L14" i="2"/>
  <c r="C14" i="2" s="1"/>
  <c r="L15" i="2"/>
  <c r="C15" i="2" s="1"/>
  <c r="L16" i="2"/>
  <c r="C16" i="2" s="1"/>
  <c r="L17" i="2"/>
  <c r="C17" i="2" s="1"/>
  <c r="L18" i="2"/>
  <c r="C18" i="2" s="1"/>
  <c r="L19" i="2"/>
  <c r="C19" i="2" s="1"/>
  <c r="L20" i="2"/>
  <c r="C20" i="2" s="1"/>
  <c r="L21" i="2"/>
  <c r="C21" i="2" s="1"/>
  <c r="L22" i="2"/>
  <c r="C22" i="2" s="1"/>
  <c r="L23" i="2"/>
  <c r="C23" i="2" s="1"/>
  <c r="L24" i="2"/>
  <c r="C24" i="2" s="1"/>
  <c r="L25" i="2"/>
  <c r="C25" i="2" s="1"/>
  <c r="L26" i="2"/>
  <c r="C26" i="2" s="1"/>
  <c r="L27" i="2"/>
  <c r="C27" i="2" s="1"/>
  <c r="L28" i="2"/>
  <c r="C28" i="2" s="1"/>
  <c r="L29" i="2"/>
  <c r="C29" i="2" s="1"/>
  <c r="L30" i="2"/>
  <c r="C30" i="2" s="1"/>
  <c r="L31" i="2"/>
  <c r="C31" i="2" s="1"/>
  <c r="L32" i="2"/>
  <c r="C32" i="2" s="1"/>
  <c r="L33" i="2"/>
  <c r="C33" i="2" s="1"/>
  <c r="L34" i="2"/>
  <c r="C34" i="2" s="1"/>
  <c r="L35" i="2"/>
  <c r="C35" i="2" s="1"/>
  <c r="L36" i="2"/>
  <c r="C36" i="2" s="1"/>
  <c r="L37" i="2"/>
  <c r="C37" i="2" s="1"/>
  <c r="L38" i="2"/>
  <c r="C38" i="2" s="1"/>
  <c r="L39" i="2"/>
  <c r="C39" i="2" s="1"/>
  <c r="L40" i="2"/>
  <c r="C40" i="2" s="1"/>
  <c r="L41" i="2"/>
  <c r="C41" i="2" s="1"/>
  <c r="L42" i="2"/>
  <c r="C42" i="2" s="1"/>
  <c r="L43" i="2"/>
  <c r="C43" i="2" s="1"/>
  <c r="L44" i="2"/>
  <c r="C44" i="2" s="1"/>
  <c r="L45" i="2"/>
  <c r="C45" i="2" s="1"/>
  <c r="L46" i="2"/>
  <c r="C46" i="2" s="1"/>
  <c r="L47" i="2"/>
  <c r="C47" i="2" s="1"/>
  <c r="L48" i="2"/>
  <c r="C48" i="2" s="1"/>
  <c r="L49" i="2"/>
  <c r="C49" i="2" s="1"/>
  <c r="L50" i="2"/>
  <c r="C50" i="2" s="1"/>
  <c r="M3" i="2"/>
  <c r="D3" i="2" s="1"/>
  <c r="M4" i="2"/>
  <c r="D4" i="2" s="1"/>
  <c r="M6" i="2"/>
  <c r="D6" i="2" s="1"/>
  <c r="M7" i="2"/>
  <c r="D7" i="2" s="1"/>
  <c r="M8" i="2"/>
  <c r="D8" i="2" s="1"/>
  <c r="M9" i="2"/>
  <c r="D9" i="2" s="1"/>
  <c r="M10" i="2"/>
  <c r="D10" i="2" s="1"/>
  <c r="M11" i="2"/>
  <c r="D11" i="2" s="1"/>
  <c r="M12" i="2"/>
  <c r="D12" i="2" s="1"/>
  <c r="M13" i="2"/>
  <c r="D13" i="2" s="1"/>
  <c r="M14" i="2"/>
  <c r="D14" i="2" s="1"/>
  <c r="M15" i="2"/>
  <c r="D15" i="2" s="1"/>
  <c r="M16" i="2"/>
  <c r="D16" i="2" s="1"/>
  <c r="M17" i="2"/>
  <c r="D17" i="2" s="1"/>
  <c r="M18" i="2"/>
  <c r="D18" i="2" s="1"/>
  <c r="M19" i="2"/>
  <c r="D19" i="2" s="1"/>
  <c r="M20" i="2"/>
  <c r="D20" i="2" s="1"/>
  <c r="M21" i="2"/>
  <c r="D21" i="2" s="1"/>
  <c r="M22" i="2"/>
  <c r="D22" i="2" s="1"/>
  <c r="M23" i="2"/>
  <c r="D23" i="2" s="1"/>
  <c r="M24" i="2"/>
  <c r="D24" i="2" s="1"/>
  <c r="M25" i="2"/>
  <c r="D25" i="2" s="1"/>
  <c r="M26" i="2"/>
  <c r="D26" i="2" s="1"/>
  <c r="M27" i="2"/>
  <c r="D27" i="2" s="1"/>
  <c r="M28" i="2"/>
  <c r="D28" i="2" s="1"/>
  <c r="M29" i="2"/>
  <c r="D29" i="2" s="1"/>
  <c r="M30" i="2"/>
  <c r="D30" i="2" s="1"/>
  <c r="M31" i="2"/>
  <c r="D31" i="2" s="1"/>
  <c r="M32" i="2"/>
  <c r="D32" i="2" s="1"/>
  <c r="M33" i="2"/>
  <c r="D33" i="2" s="1"/>
  <c r="M34" i="2"/>
  <c r="D34" i="2" s="1"/>
  <c r="M35" i="2"/>
  <c r="D35" i="2" s="1"/>
  <c r="M36" i="2"/>
  <c r="D36" i="2" s="1"/>
  <c r="M37" i="2"/>
  <c r="D37" i="2" s="1"/>
  <c r="M38" i="2"/>
  <c r="D38" i="2" s="1"/>
  <c r="M39" i="2"/>
  <c r="D39" i="2" s="1"/>
  <c r="M40" i="2"/>
  <c r="D40" i="2" s="1"/>
  <c r="M41" i="2"/>
  <c r="D41" i="2" s="1"/>
  <c r="M42" i="2"/>
  <c r="D42" i="2" s="1"/>
  <c r="M43" i="2"/>
  <c r="D43" i="2" s="1"/>
  <c r="M44" i="2"/>
  <c r="D44" i="2" s="1"/>
  <c r="M45" i="2"/>
  <c r="D45" i="2" s="1"/>
  <c r="M46" i="2"/>
  <c r="D46" i="2" s="1"/>
  <c r="M47" i="2"/>
  <c r="D47" i="2" s="1"/>
  <c r="M48" i="2"/>
  <c r="D48" i="2" s="1"/>
  <c r="M49" i="2"/>
  <c r="D49" i="2" s="1"/>
  <c r="M50" i="2"/>
  <c r="D50" i="2" s="1"/>
  <c r="N50" i="2"/>
  <c r="E50" i="2" s="1"/>
  <c r="N3" i="2"/>
  <c r="E3" i="2" s="1"/>
  <c r="N4" i="2"/>
  <c r="E4" i="2" s="1"/>
  <c r="N5" i="2"/>
  <c r="E5" i="2" s="1"/>
  <c r="N6" i="2"/>
  <c r="E6" i="2" s="1"/>
  <c r="N7" i="2"/>
  <c r="E7" i="2" s="1"/>
  <c r="N8" i="2"/>
  <c r="E8" i="2" s="1"/>
  <c r="N9" i="2"/>
  <c r="E9" i="2" s="1"/>
  <c r="N10" i="2"/>
  <c r="E10" i="2" s="1"/>
  <c r="N11" i="2"/>
  <c r="E11" i="2" s="1"/>
  <c r="N12" i="2"/>
  <c r="E12" i="2" s="1"/>
  <c r="N13" i="2"/>
  <c r="E13" i="2" s="1"/>
  <c r="N14" i="2"/>
  <c r="E14" i="2" s="1"/>
  <c r="N15" i="2"/>
  <c r="E15" i="2" s="1"/>
  <c r="N16" i="2"/>
  <c r="E16" i="2" s="1"/>
  <c r="N17" i="2"/>
  <c r="E17" i="2" s="1"/>
  <c r="N18" i="2"/>
  <c r="E18" i="2" s="1"/>
  <c r="N19" i="2"/>
  <c r="E19" i="2" s="1"/>
  <c r="N20" i="2"/>
  <c r="E20" i="2" s="1"/>
  <c r="N21" i="2"/>
  <c r="E21" i="2" s="1"/>
  <c r="N22" i="2"/>
  <c r="E22" i="2" s="1"/>
  <c r="N23" i="2"/>
  <c r="E23" i="2" s="1"/>
  <c r="N24" i="2"/>
  <c r="E24" i="2" s="1"/>
  <c r="N25" i="2"/>
  <c r="E25" i="2" s="1"/>
  <c r="N26" i="2"/>
  <c r="E26" i="2" s="1"/>
  <c r="N27" i="2"/>
  <c r="E27" i="2" s="1"/>
  <c r="N28" i="2"/>
  <c r="E28" i="2" s="1"/>
  <c r="N29" i="2"/>
  <c r="E29" i="2" s="1"/>
  <c r="N30" i="2"/>
  <c r="E30" i="2" s="1"/>
  <c r="N31" i="2"/>
  <c r="E31" i="2" s="1"/>
  <c r="N32" i="2"/>
  <c r="E32" i="2" s="1"/>
  <c r="N33" i="2"/>
  <c r="E33" i="2" s="1"/>
  <c r="N34" i="2"/>
  <c r="E34" i="2" s="1"/>
  <c r="N35" i="2"/>
  <c r="E35" i="2" s="1"/>
  <c r="N36" i="2"/>
  <c r="E36" i="2" s="1"/>
  <c r="N37" i="2"/>
  <c r="E37" i="2" s="1"/>
  <c r="N38" i="2"/>
  <c r="E38" i="2" s="1"/>
  <c r="N39" i="2"/>
  <c r="E39" i="2" s="1"/>
  <c r="N40" i="2"/>
  <c r="E40" i="2" s="1"/>
  <c r="N41" i="2"/>
  <c r="E41" i="2" s="1"/>
  <c r="N42" i="2"/>
  <c r="E42" i="2" s="1"/>
  <c r="N43" i="2"/>
  <c r="E43" i="2" s="1"/>
  <c r="N44" i="2"/>
  <c r="E44" i="2" s="1"/>
  <c r="N45" i="2"/>
  <c r="E45" i="2" s="1"/>
  <c r="N46" i="2"/>
  <c r="E46" i="2" s="1"/>
  <c r="N47" i="2"/>
  <c r="E47" i="2" s="1"/>
  <c r="N48" i="2"/>
  <c r="E48" i="2" s="1"/>
  <c r="N49" i="2"/>
  <c r="E49" i="2" s="1"/>
  <c r="N2" i="2"/>
  <c r="E2" i="2" s="1"/>
  <c r="M2" i="2"/>
  <c r="D2" i="2" s="1"/>
</calcChain>
</file>

<file path=xl/sharedStrings.xml><?xml version="1.0" encoding="utf-8"?>
<sst xmlns="http://schemas.openxmlformats.org/spreadsheetml/2006/main" count="12" uniqueCount="12">
  <si>
    <t>x</t>
  </si>
  <si>
    <t>y</t>
  </si>
  <si>
    <t>RSSIA</t>
  </si>
  <si>
    <t>RSSIB</t>
  </si>
  <si>
    <t>RSSIC</t>
  </si>
  <si>
    <t>BalizaA</t>
  </si>
  <si>
    <t>DA</t>
  </si>
  <si>
    <t>DB</t>
  </si>
  <si>
    <t>DC</t>
  </si>
  <si>
    <t>BalizaB</t>
  </si>
  <si>
    <t>BalizaC</t>
  </si>
  <si>
    <t>txPower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</si>
</sst>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4"/>
  <sheetViews>
    <sheetView tabSelected="1" workbookViewId="0">
      <selection activeCell="Q14" sqref="Q14"/>
    </sheetView>
  </sheetViews>
  <sheetFormatPr defaultColWidth="9.140625" defaultRowHeight="15"/>
  <cols>
    <col min="8" max="10" width="9.140625" style="1"/>
    <col min="12" max="12" width="14.28515625" customWidth="1"/>
    <col min="13" max="13" width="5" bestFit="1" customWidth="1"/>
    <col min="15" max="15" width="13.28515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H1" s="1" t="s">
        <v>5</v>
      </c>
      <c r="L1" s="1" t="s">
        <v>6</v>
      </c>
      <c r="M1" s="1" t="s">
        <v>7</v>
      </c>
      <c r="N1" s="1" t="s">
        <v>8</v>
      </c>
    </row>
    <row r="2" spans="1:14">
      <c r="A2">
        <v>0.5</v>
      </c>
      <c r="B2">
        <v>0.5</v>
      </c>
      <c r="C2">
        <f>$I$8 - 10*LOG10(L2/2.5)</f>
        <v>-53.515449934959719</v>
      </c>
      <c r="D2">
        <f>$I$8 - 10*LOG10(M2/2.5)</f>
        <v>-60.505149978319906</v>
      </c>
      <c r="E2">
        <f>$I$8 - 10*LOG10(N2/2.5)</f>
        <v>-60.505149978319906</v>
      </c>
      <c r="H2" s="1">
        <v>0</v>
      </c>
      <c r="I2" s="1">
        <v>0</v>
      </c>
      <c r="L2" s="3">
        <f>SQRT(POWER((A2-$H$2),2) + POWER((B2-$I$2),2))</f>
        <v>0.70710678118654757</v>
      </c>
      <c r="M2" s="3">
        <f>SQRT(POWER((A2-$H$4),2) + POWER((B2-$I$4),2))</f>
        <v>3.5355339059327378</v>
      </c>
      <c r="N2" s="3">
        <f>SQRT(POWER((A2-$H$6),2) + POWER((B2-$I$6),2))</f>
        <v>3.5355339059327378</v>
      </c>
    </row>
    <row r="3" spans="1:14">
      <c r="A3">
        <v>0.5</v>
      </c>
      <c r="B3">
        <v>1</v>
      </c>
      <c r="C3">
        <f>$I$8 - 10*LOG10(L3/2.5)</f>
        <v>-55.505149978319906</v>
      </c>
      <c r="D3">
        <f>$I$8 - 10*LOG10(M3/2.5)</f>
        <v>-59.851308576974787</v>
      </c>
      <c r="E3">
        <f>$I$8 - 10*LOG10(N3/2.5)</f>
        <v>-60.631679304643754</v>
      </c>
      <c r="H3" s="1" t="s">
        <v>9</v>
      </c>
      <c r="L3" s="3">
        <f t="shared" ref="L3:L50" si="0">SQRT(POWER((A3-$H$2),2) + POWER((B3-$I$2),2))</f>
        <v>1.1180339887498949</v>
      </c>
      <c r="M3" s="3">
        <f t="shared" ref="M3:M50" si="1">SQRT(POWER((A3-$H$4),2) + POWER((B3-$I$4),2))</f>
        <v>3.0413812651491097</v>
      </c>
      <c r="N3" s="3">
        <f t="shared" ref="N3:N49" si="2">SQRT(POWER((A3-$H$6),2) + POWER((B3-$I$6),2))</f>
        <v>3.640054944640259</v>
      </c>
    </row>
    <row r="4" spans="1:14">
      <c r="A4">
        <v>0.5</v>
      </c>
      <c r="B4">
        <v>1.5</v>
      </c>
      <c r="C4">
        <f>$I$8 - 10*LOG10(L4/2.5)</f>
        <v>-57.010299956639813</v>
      </c>
      <c r="D4">
        <f>$I$8 - 10*LOG10(M4/2.5)</f>
        <v>-59.0851666964939</v>
      </c>
      <c r="E4">
        <f>$I$8 - 10*LOG10(N4/2.5)</f>
        <v>-60.827439924454495</v>
      </c>
      <c r="H4" s="1">
        <v>0</v>
      </c>
      <c r="I4" s="1">
        <v>4</v>
      </c>
      <c r="L4" s="3">
        <f t="shared" si="0"/>
        <v>1.5811388300841898</v>
      </c>
      <c r="M4" s="3">
        <f t="shared" si="1"/>
        <v>2.5495097567963922</v>
      </c>
      <c r="N4" s="3">
        <f t="shared" si="2"/>
        <v>3.8078865529319543</v>
      </c>
    </row>
    <row r="5" spans="1:14">
      <c r="A5">
        <v>0.5</v>
      </c>
      <c r="B5">
        <v>2</v>
      </c>
      <c r="C5">
        <f>$I$8 - 10*LOG10(L5/2.5)</f>
        <v>-58.162544563531185</v>
      </c>
      <c r="D5">
        <f>$I$8 - 10*LOG10(M5/2.5)</f>
        <v>-58.162544563531185</v>
      </c>
      <c r="E5">
        <f>$I$8 - 10*LOG10(N5/2.5)</f>
        <v>-61.074866739854087</v>
      </c>
      <c r="H5" s="1" t="s">
        <v>10</v>
      </c>
      <c r="L5" s="3">
        <f>SQRT(POWER((A5-$H$2),2) + POWER((B5-$I$2),2))</f>
        <v>2.0615528128088303</v>
      </c>
      <c r="M5" s="3">
        <f>SQRT(POWER((A5-$H$4),2) + POWER((B5-$I$4),2))</f>
        <v>2.0615528128088303</v>
      </c>
      <c r="N5" s="3">
        <f t="shared" si="2"/>
        <v>4.0311288741492746</v>
      </c>
    </row>
    <row r="6" spans="1:14">
      <c r="A6">
        <v>0.5</v>
      </c>
      <c r="B6">
        <v>2.5</v>
      </c>
      <c r="C6">
        <f>$I$8 - 10*LOG10(L6/2.5)</f>
        <v>-59.0851666964939</v>
      </c>
      <c r="D6">
        <f>$I$8 - 10*LOG10(M6/2.5)</f>
        <v>-57.010299956639813</v>
      </c>
      <c r="E6">
        <f>$I$8 - 10*LOG10(N6/2.5)</f>
        <v>-61.356458555294694</v>
      </c>
      <c r="H6" s="1">
        <v>4</v>
      </c>
      <c r="I6" s="1">
        <v>0</v>
      </c>
      <c r="L6" s="3">
        <f t="shared" si="0"/>
        <v>2.5495097567963922</v>
      </c>
      <c r="M6" s="3">
        <f t="shared" si="1"/>
        <v>1.5811388300841898</v>
      </c>
      <c r="N6" s="3">
        <f t="shared" si="2"/>
        <v>4.3011626335213133</v>
      </c>
    </row>
    <row r="7" spans="1:14">
      <c r="A7">
        <v>0.5</v>
      </c>
      <c r="B7">
        <v>3</v>
      </c>
      <c r="C7">
        <f>$I$8 - 10*LOG10(L7/2.5)</f>
        <v>-59.851308576974787</v>
      </c>
      <c r="D7">
        <f>$I$8 - 10*LOG10(M7/2.5)</f>
        <v>-55.505149978319906</v>
      </c>
      <c r="E7">
        <f>$I$8 - 10*LOG10(N7/2.5)</f>
        <v>-61.657394585211279</v>
      </c>
      <c r="H7" s="2"/>
      <c r="L7" s="3">
        <f t="shared" si="0"/>
        <v>3.0413812651491097</v>
      </c>
      <c r="M7" s="3">
        <f t="shared" si="1"/>
        <v>1.1180339887498949</v>
      </c>
      <c r="N7" s="3">
        <f t="shared" si="2"/>
        <v>4.6097722286464435</v>
      </c>
    </row>
    <row r="8" spans="1:14">
      <c r="A8">
        <v>0.5</v>
      </c>
      <c r="B8">
        <v>3.5</v>
      </c>
      <c r="C8">
        <f>$I$8 - 10*LOG10(L8/2.5)</f>
        <v>-60.505149978319906</v>
      </c>
      <c r="D8">
        <f>$I$8 - 10*LOG10(M8/2.5)</f>
        <v>-53.515449934959719</v>
      </c>
      <c r="E8">
        <f>$I$8 - 10*LOG10(N8/2.5)</f>
        <v>-61.966430335102288</v>
      </c>
      <c r="H8" t="s">
        <v>11</v>
      </c>
      <c r="I8">
        <v>-59</v>
      </c>
      <c r="L8" s="3">
        <f t="shared" si="0"/>
        <v>3.5355339059327378</v>
      </c>
      <c r="M8" s="3">
        <f t="shared" si="1"/>
        <v>0.70710678118654757</v>
      </c>
      <c r="N8" s="3">
        <f t="shared" si="2"/>
        <v>4.9497474683058327</v>
      </c>
    </row>
    <row r="9" spans="1:14">
      <c r="A9">
        <v>1</v>
      </c>
      <c r="B9">
        <v>0.5</v>
      </c>
      <c r="C9">
        <f>$I$8 - 10*LOG10(L9/2.5)</f>
        <v>-55.505149978319906</v>
      </c>
      <c r="D9">
        <f>$I$8 - 10*LOG10(M9/2.5)</f>
        <v>-60.631679304643754</v>
      </c>
      <c r="E9">
        <f>$I$8 - 10*LOG10(N9/2.5)</f>
        <v>-59.851308576974787</v>
      </c>
      <c r="L9" s="3">
        <f t="shared" si="0"/>
        <v>1.1180339887498949</v>
      </c>
      <c r="M9" s="3">
        <f t="shared" si="1"/>
        <v>3.640054944640259</v>
      </c>
      <c r="N9" s="3">
        <f t="shared" si="2"/>
        <v>3.0413812651491097</v>
      </c>
    </row>
    <row r="10" spans="1:14">
      <c r="A10">
        <v>1</v>
      </c>
      <c r="B10">
        <v>1</v>
      </c>
      <c r="C10">
        <f>$I$8 - 10*LOG10(L10/2.5)</f>
        <v>-56.525749891599531</v>
      </c>
      <c r="D10">
        <f>$I$8 - 10*LOG10(M10/2.5)</f>
        <v>-60.020599913279625</v>
      </c>
      <c r="E10">
        <f>$I$8 - 10*LOG10(N10/2.5)</f>
        <v>-60.020599913279625</v>
      </c>
      <c r="L10" s="3">
        <f t="shared" si="0"/>
        <v>1.4142135623730951</v>
      </c>
      <c r="M10" s="3">
        <f t="shared" si="1"/>
        <v>3.1622776601683795</v>
      </c>
      <c r="N10" s="3">
        <f t="shared" si="2"/>
        <v>3.1622776601683795</v>
      </c>
    </row>
    <row r="11" spans="1:14">
      <c r="A11">
        <v>1</v>
      </c>
      <c r="B11">
        <v>1.5</v>
      </c>
      <c r="C11">
        <f>$I$8 - 10*LOG10(L11/2.5)</f>
        <v>-57.580016718173994</v>
      </c>
      <c r="D11">
        <f>$I$8 - 10*LOG10(M11/2.5)</f>
        <v>-59.322289946134589</v>
      </c>
      <c r="E11">
        <f>$I$8 - 10*LOG10(N11/2.5)</f>
        <v>-60.276362525516532</v>
      </c>
      <c r="L11" s="3">
        <f t="shared" si="0"/>
        <v>1.8027756377319946</v>
      </c>
      <c r="M11" s="3">
        <f t="shared" si="1"/>
        <v>2.6925824035672519</v>
      </c>
      <c r="N11" s="3">
        <f t="shared" si="2"/>
        <v>3.3541019662496847</v>
      </c>
    </row>
    <row r="12" spans="1:14">
      <c r="A12">
        <v>1</v>
      </c>
      <c r="B12">
        <v>2</v>
      </c>
      <c r="C12">
        <f>$I$8 - 10*LOG10(L12/2.5)</f>
        <v>-58.515449934959719</v>
      </c>
      <c r="D12">
        <f>$I$8 - 10*LOG10(M12/2.5)</f>
        <v>-58.515449934959719</v>
      </c>
      <c r="E12">
        <f>$I$8 - 10*LOG10(N12/2.5)</f>
        <v>-60.590316674813806</v>
      </c>
      <c r="L12" s="3">
        <f t="shared" si="0"/>
        <v>2.2360679774997898</v>
      </c>
      <c r="M12" s="3">
        <f t="shared" si="1"/>
        <v>2.2360679774997898</v>
      </c>
      <c r="N12" s="3">
        <f t="shared" si="2"/>
        <v>3.6055512754639891</v>
      </c>
    </row>
    <row r="13" spans="1:14">
      <c r="A13">
        <v>1</v>
      </c>
      <c r="B13">
        <v>2.5</v>
      </c>
      <c r="C13">
        <f>$I$8 - 10*LOG10(L13/2.5)</f>
        <v>-59.322289946134589</v>
      </c>
      <c r="D13">
        <f>$I$8 - 10*LOG10(M13/2.5)</f>
        <v>-57.580016718173994</v>
      </c>
      <c r="E13">
        <f>$I$8 - 10*LOG10(N13/2.5)</f>
        <v>-60.936949131693645</v>
      </c>
      <c r="L13" s="3">
        <f t="shared" si="0"/>
        <v>2.6925824035672519</v>
      </c>
      <c r="M13" s="3">
        <f t="shared" si="1"/>
        <v>1.8027756377319946</v>
      </c>
      <c r="N13" s="3">
        <f t="shared" si="2"/>
        <v>3.905124837953327</v>
      </c>
    </row>
    <row r="14" spans="1:14">
      <c r="A14">
        <v>1</v>
      </c>
      <c r="B14">
        <v>3</v>
      </c>
      <c r="C14">
        <f>$I$8 - 10*LOG10(L14/2.5)</f>
        <v>-60.020599913279625</v>
      </c>
      <c r="D14">
        <f>$I$8 - 10*LOG10(M14/2.5)</f>
        <v>-56.525749891599531</v>
      </c>
      <c r="E14">
        <f>$I$8 - 10*LOG10(N14/2.5)</f>
        <v>-61.296962438796157</v>
      </c>
      <c r="L14" s="3">
        <f t="shared" si="0"/>
        <v>3.1622776601683795</v>
      </c>
      <c r="M14" s="3">
        <f t="shared" si="1"/>
        <v>1.4142135623730951</v>
      </c>
      <c r="N14" s="3">
        <f t="shared" si="2"/>
        <v>4.2426406871192848</v>
      </c>
    </row>
    <row r="15" spans="1:14">
      <c r="A15">
        <v>1</v>
      </c>
      <c r="B15">
        <v>3.5</v>
      </c>
      <c r="C15">
        <f>$I$8 - 10*LOG10(L15/2.5)</f>
        <v>-60.631679304643754</v>
      </c>
      <c r="D15">
        <f>$I$8 - 10*LOG10(M15/2.5)</f>
        <v>-55.505149978319906</v>
      </c>
      <c r="E15">
        <f>$I$8 - 10*LOG10(N15/2.5)</f>
        <v>-61.657394585211279</v>
      </c>
      <c r="L15" s="3">
        <f t="shared" si="0"/>
        <v>3.640054944640259</v>
      </c>
      <c r="M15" s="3">
        <f t="shared" si="1"/>
        <v>1.1180339887498949</v>
      </c>
      <c r="N15" s="3">
        <f t="shared" si="2"/>
        <v>4.6097722286464435</v>
      </c>
    </row>
    <row r="16" spans="1:14">
      <c r="A16">
        <v>1.5</v>
      </c>
      <c r="B16">
        <v>0.5</v>
      </c>
      <c r="C16">
        <f>$I$8 - 10*LOG10(L16/2.5)</f>
        <v>-57.010299956639813</v>
      </c>
      <c r="D16">
        <f>$I$8 - 10*LOG10(M16/2.5)</f>
        <v>-60.827439924454495</v>
      </c>
      <c r="E16">
        <f>$I$8 - 10*LOG10(N16/2.5)</f>
        <v>-59.0851666964939</v>
      </c>
      <c r="L16" s="3">
        <f t="shared" si="0"/>
        <v>1.5811388300841898</v>
      </c>
      <c r="M16" s="3">
        <f t="shared" si="1"/>
        <v>3.8078865529319543</v>
      </c>
      <c r="N16" s="3">
        <f t="shared" si="2"/>
        <v>2.5495097567963922</v>
      </c>
    </row>
    <row r="17" spans="1:14">
      <c r="A17">
        <v>1.5</v>
      </c>
      <c r="B17">
        <v>1</v>
      </c>
      <c r="C17">
        <f>$I$8 - 10*LOG10(L17/2.5)</f>
        <v>-57.580016718173994</v>
      </c>
      <c r="D17">
        <f>$I$8 - 10*LOG10(M17/2.5)</f>
        <v>-60.276362525516532</v>
      </c>
      <c r="E17">
        <f>$I$8 - 10*LOG10(N17/2.5)</f>
        <v>-59.322289946134589</v>
      </c>
      <c r="L17" s="3">
        <f t="shared" si="0"/>
        <v>1.8027756377319946</v>
      </c>
      <c r="M17" s="3">
        <f t="shared" si="1"/>
        <v>3.3541019662496847</v>
      </c>
      <c r="N17" s="3">
        <f t="shared" si="2"/>
        <v>2.6925824035672519</v>
      </c>
    </row>
    <row r="18" spans="1:14">
      <c r="A18">
        <v>1.5</v>
      </c>
      <c r="B18">
        <v>1.5</v>
      </c>
      <c r="C18">
        <f>$I$8 - 10*LOG10(L18/2.5)</f>
        <v>-58.286662482156345</v>
      </c>
      <c r="D18">
        <f>$I$8 - 10*LOG10(M18/2.5)</f>
        <v>-59.667694541851091</v>
      </c>
      <c r="E18">
        <f>$I$8 - 10*LOG10(N18/2.5)</f>
        <v>-59.667694541851091</v>
      </c>
      <c r="L18" s="3">
        <f t="shared" si="0"/>
        <v>2.1213203435596424</v>
      </c>
      <c r="M18" s="3">
        <f t="shared" si="1"/>
        <v>2.9154759474226504</v>
      </c>
      <c r="N18" s="3">
        <f t="shared" si="2"/>
        <v>2.9154759474226504</v>
      </c>
    </row>
    <row r="19" spans="1:14">
      <c r="A19">
        <v>1.5</v>
      </c>
      <c r="B19">
        <v>2</v>
      </c>
      <c r="C19">
        <f>$I$8 - 10*LOG10(L19/2.5)</f>
        <v>-59</v>
      </c>
      <c r="D19">
        <f>$I$8 - 10*LOG10(M19/2.5)</f>
        <v>-59</v>
      </c>
      <c r="E19">
        <f>$I$8 - 10*LOG10(N19/2.5)</f>
        <v>-60.074219240238492</v>
      </c>
      <c r="L19" s="3">
        <f t="shared" si="0"/>
        <v>2.5</v>
      </c>
      <c r="M19" s="3">
        <f t="shared" si="1"/>
        <v>2.5</v>
      </c>
      <c r="N19" s="3">
        <f t="shared" si="2"/>
        <v>3.2015621187164243</v>
      </c>
    </row>
    <row r="20" spans="1:14">
      <c r="A20">
        <v>1.5</v>
      </c>
      <c r="B20">
        <v>2.5</v>
      </c>
      <c r="C20">
        <f>$I$8 - 10*LOG10(L20/2.5)</f>
        <v>-59.667694541851091</v>
      </c>
      <c r="D20">
        <f>$I$8 - 10*LOG10(M20/2.5)</f>
        <v>-58.286662482156345</v>
      </c>
      <c r="E20">
        <f>$I$8 - 10*LOG10(N20/2.5)</f>
        <v>-60.505149978319906</v>
      </c>
      <c r="L20" s="3">
        <f t="shared" si="0"/>
        <v>2.9154759474226504</v>
      </c>
      <c r="M20" s="3">
        <f t="shared" si="1"/>
        <v>2.1213203435596424</v>
      </c>
      <c r="N20" s="3">
        <f t="shared" si="2"/>
        <v>3.5355339059327378</v>
      </c>
    </row>
    <row r="21" spans="1:14">
      <c r="A21">
        <v>1.5</v>
      </c>
      <c r="B21">
        <v>3</v>
      </c>
      <c r="C21">
        <f>$I$8 - 10*LOG10(L21/2.5)</f>
        <v>-60.276362525516532</v>
      </c>
      <c r="D21">
        <f>$I$8 - 10*LOG10(M21/2.5)</f>
        <v>-57.580016718173994</v>
      </c>
      <c r="E21">
        <f>$I$8 - 10*LOG10(N21/2.5)</f>
        <v>-60.936949131693645</v>
      </c>
      <c r="L21" s="3">
        <f t="shared" si="0"/>
        <v>3.3541019662496847</v>
      </c>
      <c r="M21" s="3">
        <f t="shared" si="1"/>
        <v>1.8027756377319946</v>
      </c>
      <c r="N21" s="3">
        <f t="shared" si="2"/>
        <v>3.905124837953327</v>
      </c>
    </row>
    <row r="22" spans="1:14">
      <c r="A22">
        <v>1.5</v>
      </c>
      <c r="B22">
        <v>3.5</v>
      </c>
      <c r="C22">
        <f>$I$8 - 10*LOG10(L22/2.5)</f>
        <v>-60.827439924454495</v>
      </c>
      <c r="D22">
        <f>$I$8 - 10*LOG10(M22/2.5)</f>
        <v>-57.010299956639813</v>
      </c>
      <c r="E22">
        <f>$I$8 - 10*LOG10(N22/2.5)</f>
        <v>-61.356458555294694</v>
      </c>
      <c r="L22" s="3">
        <f t="shared" si="0"/>
        <v>3.8078865529319543</v>
      </c>
      <c r="M22" s="3">
        <f t="shared" si="1"/>
        <v>1.5811388300841898</v>
      </c>
      <c r="N22" s="3">
        <f t="shared" si="2"/>
        <v>4.3011626335213133</v>
      </c>
    </row>
    <row r="23" spans="1:14">
      <c r="A23">
        <v>2</v>
      </c>
      <c r="B23">
        <v>0.5</v>
      </c>
      <c r="C23">
        <f>$I$8 - 10*LOG10(L23/2.5)</f>
        <v>-58.162544563531185</v>
      </c>
      <c r="D23">
        <f>$I$8 - 10*LOG10(M23/2.5)</f>
        <v>-61.074866739854087</v>
      </c>
      <c r="E23">
        <f>$I$8 - 10*LOG10(N23/2.5)</f>
        <v>-58.162544563531185</v>
      </c>
      <c r="L23" s="3">
        <f t="shared" si="0"/>
        <v>2.0615528128088303</v>
      </c>
      <c r="M23" s="3">
        <f t="shared" si="1"/>
        <v>4.0311288741492746</v>
      </c>
      <c r="N23" s="3">
        <f t="shared" si="2"/>
        <v>2.0615528128088303</v>
      </c>
    </row>
    <row r="24" spans="1:14">
      <c r="A24">
        <v>2</v>
      </c>
      <c r="B24">
        <v>1</v>
      </c>
      <c r="C24">
        <f>$I$8 - 10*LOG10(L24/2.5)</f>
        <v>-58.515449934959719</v>
      </c>
      <c r="D24">
        <f>$I$8 - 10*LOG10(M24/2.5)</f>
        <v>-60.590316674813806</v>
      </c>
      <c r="E24">
        <f>$I$8 - 10*LOG10(N24/2.5)</f>
        <v>-58.515449934959719</v>
      </c>
      <c r="L24" s="3">
        <f t="shared" si="0"/>
        <v>2.2360679774997898</v>
      </c>
      <c r="M24" s="3">
        <f t="shared" si="1"/>
        <v>3.6055512754639891</v>
      </c>
      <c r="N24" s="3">
        <f t="shared" si="2"/>
        <v>2.2360679774997898</v>
      </c>
    </row>
    <row r="25" spans="1:14">
      <c r="A25">
        <v>2</v>
      </c>
      <c r="B25">
        <v>1.5</v>
      </c>
      <c r="C25">
        <f>$I$8 - 10*LOG10(L25/2.5)</f>
        <v>-59</v>
      </c>
      <c r="D25">
        <f>$I$8 - 10*LOG10(M25/2.5)</f>
        <v>-60.074219240238492</v>
      </c>
      <c r="E25">
        <f>$I$8 - 10*LOG10(N25/2.5)</f>
        <v>-59</v>
      </c>
      <c r="L25" s="3">
        <f t="shared" si="0"/>
        <v>2.5</v>
      </c>
      <c r="M25" s="3">
        <f t="shared" si="1"/>
        <v>3.2015621187164243</v>
      </c>
      <c r="N25" s="3">
        <f t="shared" si="2"/>
        <v>2.5</v>
      </c>
    </row>
    <row r="26" spans="1:14">
      <c r="A26">
        <v>2</v>
      </c>
      <c r="B26">
        <v>2</v>
      </c>
      <c r="C26">
        <f>$I$8 - 10*LOG10(L26/2.5)</f>
        <v>-59.536049848239344</v>
      </c>
      <c r="D26">
        <f>$I$8 - 10*LOG10(M26/2.5)</f>
        <v>-59.536049848239344</v>
      </c>
      <c r="E26">
        <f>$I$8 - 10*LOG10(N26/2.5)</f>
        <v>-59.536049848239344</v>
      </c>
      <c r="L26" s="3">
        <f t="shared" si="0"/>
        <v>2.8284271247461903</v>
      </c>
      <c r="M26" s="3">
        <f t="shared" si="1"/>
        <v>2.8284271247461903</v>
      </c>
      <c r="N26" s="3">
        <f t="shared" si="2"/>
        <v>2.8284271247461903</v>
      </c>
    </row>
    <row r="27" spans="1:14">
      <c r="A27">
        <v>2</v>
      </c>
      <c r="B27">
        <v>2.5</v>
      </c>
      <c r="C27">
        <f>$I$8 - 10*LOG10(L27/2.5)</f>
        <v>-60.074219240238492</v>
      </c>
      <c r="D27">
        <f>$I$8 - 10*LOG10(M27/2.5)</f>
        <v>-59</v>
      </c>
      <c r="E27">
        <f>$I$8 - 10*LOG10(N27/2.5)</f>
        <v>-60.074219240238492</v>
      </c>
      <c r="L27" s="3">
        <f t="shared" si="0"/>
        <v>3.2015621187164243</v>
      </c>
      <c r="M27" s="3">
        <f t="shared" si="1"/>
        <v>2.5</v>
      </c>
      <c r="N27" s="3">
        <f t="shared" si="2"/>
        <v>3.2015621187164243</v>
      </c>
    </row>
    <row r="28" spans="1:14">
      <c r="A28">
        <v>2</v>
      </c>
      <c r="B28">
        <v>3</v>
      </c>
      <c r="C28">
        <f>$I$8 - 10*LOG10(L28/2.5)</f>
        <v>-60.590316674813806</v>
      </c>
      <c r="D28">
        <f>$I$8 - 10*LOG10(M28/2.5)</f>
        <v>-58.515449934959719</v>
      </c>
      <c r="E28">
        <f>$I$8 - 10*LOG10(N28/2.5)</f>
        <v>-60.590316674813806</v>
      </c>
      <c r="L28" s="3">
        <f t="shared" si="0"/>
        <v>3.6055512754639891</v>
      </c>
      <c r="M28" s="3">
        <f t="shared" si="1"/>
        <v>2.2360679774997898</v>
      </c>
      <c r="N28" s="3">
        <f t="shared" si="2"/>
        <v>3.6055512754639891</v>
      </c>
    </row>
    <row r="29" spans="1:14">
      <c r="A29">
        <v>2</v>
      </c>
      <c r="B29">
        <v>3.5</v>
      </c>
      <c r="C29">
        <f>$I$8 - 10*LOG10(L29/2.5)</f>
        <v>-61.074866739854087</v>
      </c>
      <c r="D29">
        <f>$I$8 - 10*LOG10(M29/2.5)</f>
        <v>-58.162544563531185</v>
      </c>
      <c r="E29">
        <f>$I$8 - 10*LOG10(N29/2.5)</f>
        <v>-61.074866739854087</v>
      </c>
      <c r="L29" s="3">
        <f t="shared" si="0"/>
        <v>4.0311288741492746</v>
      </c>
      <c r="M29" s="3">
        <f t="shared" si="1"/>
        <v>2.0615528128088303</v>
      </c>
      <c r="N29" s="3">
        <f t="shared" si="2"/>
        <v>4.0311288741492746</v>
      </c>
    </row>
    <row r="30" spans="1:14">
      <c r="A30">
        <v>2.5</v>
      </c>
      <c r="B30">
        <v>0.5</v>
      </c>
      <c r="C30">
        <f>$I$8 - 10*LOG10(L30/2.5)</f>
        <v>-59.0851666964939</v>
      </c>
      <c r="D30">
        <f>$I$8 - 10*LOG10(M30/2.5)</f>
        <v>-61.356458555294694</v>
      </c>
      <c r="E30">
        <f>$I$8 - 10*LOG10(N30/2.5)</f>
        <v>-57.010299956639813</v>
      </c>
      <c r="L30" s="3">
        <f t="shared" si="0"/>
        <v>2.5495097567963922</v>
      </c>
      <c r="M30" s="3">
        <f t="shared" si="1"/>
        <v>4.3011626335213133</v>
      </c>
      <c r="N30" s="3">
        <f t="shared" si="2"/>
        <v>1.5811388300841898</v>
      </c>
    </row>
    <row r="31" spans="1:14">
      <c r="A31">
        <v>2.5</v>
      </c>
      <c r="B31">
        <v>1</v>
      </c>
      <c r="C31">
        <f>$I$8 - 10*LOG10(L31/2.5)</f>
        <v>-59.322289946134589</v>
      </c>
      <c r="D31">
        <f>$I$8 - 10*LOG10(M31/2.5)</f>
        <v>-60.936949131693645</v>
      </c>
      <c r="E31">
        <f>$I$8 - 10*LOG10(N31/2.5)</f>
        <v>-57.580016718173994</v>
      </c>
      <c r="L31" s="3">
        <f t="shared" si="0"/>
        <v>2.6925824035672519</v>
      </c>
      <c r="M31" s="3">
        <f t="shared" si="1"/>
        <v>3.905124837953327</v>
      </c>
      <c r="N31" s="3">
        <f t="shared" si="2"/>
        <v>1.8027756377319946</v>
      </c>
    </row>
    <row r="32" spans="1:14">
      <c r="A32">
        <v>2.5</v>
      </c>
      <c r="B32">
        <v>1.5</v>
      </c>
      <c r="C32">
        <f>$I$8 - 10*LOG10(L32/2.5)</f>
        <v>-59.667694541851091</v>
      </c>
      <c r="D32">
        <f>$I$8 - 10*LOG10(M32/2.5)</f>
        <v>-60.505149978319906</v>
      </c>
      <c r="E32">
        <f>$I$8 - 10*LOG10(N32/2.5)</f>
        <v>-58.286662482156345</v>
      </c>
      <c r="L32" s="3">
        <f t="shared" si="0"/>
        <v>2.9154759474226504</v>
      </c>
      <c r="M32" s="3">
        <f t="shared" si="1"/>
        <v>3.5355339059327378</v>
      </c>
      <c r="N32" s="3">
        <f t="shared" si="2"/>
        <v>2.1213203435596424</v>
      </c>
    </row>
    <row r="33" spans="1:14">
      <c r="A33">
        <v>2.5</v>
      </c>
      <c r="B33">
        <v>2</v>
      </c>
      <c r="C33">
        <f>$I$8 - 10*LOG10(L33/2.5)</f>
        <v>-60.074219240238492</v>
      </c>
      <c r="D33">
        <f>$I$8 - 10*LOG10(M33/2.5)</f>
        <v>-60.074219240238492</v>
      </c>
      <c r="E33">
        <f>$I$8 - 10*LOG10(N33/2.5)</f>
        <v>-59</v>
      </c>
      <c r="L33" s="3">
        <f t="shared" si="0"/>
        <v>3.2015621187164243</v>
      </c>
      <c r="M33" s="3">
        <f t="shared" si="1"/>
        <v>3.2015621187164243</v>
      </c>
      <c r="N33" s="3">
        <f t="shared" si="2"/>
        <v>2.5</v>
      </c>
    </row>
    <row r="34" spans="1:14">
      <c r="A34">
        <v>2.5</v>
      </c>
      <c r="B34">
        <v>2.5</v>
      </c>
      <c r="C34">
        <f>$I$8 - 10*LOG10(L34/2.5)</f>
        <v>-60.505149978319906</v>
      </c>
      <c r="D34">
        <f>$I$8 - 10*LOG10(M34/2.5)</f>
        <v>-59.667694541851091</v>
      </c>
      <c r="E34">
        <f>$I$8 - 10*LOG10(N34/2.5)</f>
        <v>-59.667694541851091</v>
      </c>
      <c r="L34" s="3">
        <f t="shared" si="0"/>
        <v>3.5355339059327378</v>
      </c>
      <c r="M34" s="3">
        <f t="shared" si="1"/>
        <v>2.9154759474226504</v>
      </c>
      <c r="N34" s="3">
        <f t="shared" si="2"/>
        <v>2.9154759474226504</v>
      </c>
    </row>
    <row r="35" spans="1:14">
      <c r="A35">
        <v>2.5</v>
      </c>
      <c r="B35">
        <v>3</v>
      </c>
      <c r="C35">
        <f>$I$8 - 10*LOG10(L35/2.5)</f>
        <v>-60.936949131693645</v>
      </c>
      <c r="D35">
        <f>$I$8 - 10*LOG10(M35/2.5)</f>
        <v>-59.322289946134589</v>
      </c>
      <c r="E35">
        <f>$I$8 - 10*LOG10(N35/2.5)</f>
        <v>-60.276362525516532</v>
      </c>
      <c r="L35" s="3">
        <f t="shared" si="0"/>
        <v>3.905124837953327</v>
      </c>
      <c r="M35" s="3">
        <f t="shared" si="1"/>
        <v>2.6925824035672519</v>
      </c>
      <c r="N35" s="3">
        <f t="shared" si="2"/>
        <v>3.3541019662496847</v>
      </c>
    </row>
    <row r="36" spans="1:14">
      <c r="A36">
        <v>2.5</v>
      </c>
      <c r="B36">
        <v>3.5</v>
      </c>
      <c r="C36">
        <f>$I$8 - 10*LOG10(L36/2.5)</f>
        <v>-61.356458555294694</v>
      </c>
      <c r="D36">
        <f>$I$8 - 10*LOG10(M36/2.5)</f>
        <v>-59.0851666964939</v>
      </c>
      <c r="E36">
        <f>$I$8 - 10*LOG10(N36/2.5)</f>
        <v>-60.827439924454495</v>
      </c>
      <c r="L36" s="3">
        <f t="shared" si="0"/>
        <v>4.3011626335213133</v>
      </c>
      <c r="M36" s="3">
        <f t="shared" si="1"/>
        <v>2.5495097567963922</v>
      </c>
      <c r="N36" s="3">
        <f t="shared" si="2"/>
        <v>3.8078865529319543</v>
      </c>
    </row>
    <row r="37" spans="1:14">
      <c r="A37">
        <v>3</v>
      </c>
      <c r="B37">
        <v>0.5</v>
      </c>
      <c r="C37">
        <f>$I$8 - 10*LOG10(L37/2.5)</f>
        <v>-59.851308576974787</v>
      </c>
      <c r="D37">
        <f>$I$8 - 10*LOG10(M37/2.5)</f>
        <v>-61.657394585211279</v>
      </c>
      <c r="E37">
        <f>$I$8 - 10*LOG10(N37/2.5)</f>
        <v>-55.505149978319906</v>
      </c>
      <c r="L37" s="3">
        <f t="shared" si="0"/>
        <v>3.0413812651491097</v>
      </c>
      <c r="M37" s="3">
        <f t="shared" si="1"/>
        <v>4.6097722286464435</v>
      </c>
      <c r="N37" s="3">
        <f t="shared" si="2"/>
        <v>1.1180339887498949</v>
      </c>
    </row>
    <row r="38" spans="1:14">
      <c r="A38">
        <v>3</v>
      </c>
      <c r="B38">
        <v>1</v>
      </c>
      <c r="C38">
        <f>$I$8 - 10*LOG10(L38/2.5)</f>
        <v>-60.020599913279625</v>
      </c>
      <c r="D38">
        <f>$I$8 - 10*LOG10(M38/2.5)</f>
        <v>-61.296962438796157</v>
      </c>
      <c r="E38">
        <f>$I$8 - 10*LOG10(N38/2.5)</f>
        <v>-56.525749891599531</v>
      </c>
      <c r="L38" s="3">
        <f t="shared" si="0"/>
        <v>3.1622776601683795</v>
      </c>
      <c r="M38" s="3">
        <f t="shared" si="1"/>
        <v>4.2426406871192848</v>
      </c>
      <c r="N38" s="3">
        <f t="shared" si="2"/>
        <v>1.4142135623730951</v>
      </c>
    </row>
    <row r="39" spans="1:14">
      <c r="A39">
        <v>3</v>
      </c>
      <c r="B39">
        <v>1.5</v>
      </c>
      <c r="C39">
        <f>$I$8 - 10*LOG10(L39/2.5)</f>
        <v>-60.276362525516532</v>
      </c>
      <c r="D39">
        <f>$I$8 - 10*LOG10(M39/2.5)</f>
        <v>-60.936949131693645</v>
      </c>
      <c r="E39">
        <f>$I$8 - 10*LOG10(N39/2.5)</f>
        <v>-57.580016718173994</v>
      </c>
      <c r="L39" s="3">
        <f t="shared" si="0"/>
        <v>3.3541019662496847</v>
      </c>
      <c r="M39" s="3">
        <f t="shared" si="1"/>
        <v>3.905124837953327</v>
      </c>
      <c r="N39" s="3">
        <f t="shared" si="2"/>
        <v>1.8027756377319946</v>
      </c>
    </row>
    <row r="40" spans="1:14">
      <c r="A40">
        <v>3</v>
      </c>
      <c r="B40">
        <v>2</v>
      </c>
      <c r="C40">
        <f>$I$8 - 10*LOG10(L40/2.5)</f>
        <v>-60.590316674813806</v>
      </c>
      <c r="D40">
        <f>$I$8 - 10*LOG10(M40/2.5)</f>
        <v>-60.590316674813806</v>
      </c>
      <c r="E40">
        <f>$I$8 - 10*LOG10(N40/2.5)</f>
        <v>-58.515449934959719</v>
      </c>
      <c r="L40" s="3">
        <f t="shared" si="0"/>
        <v>3.6055512754639891</v>
      </c>
      <c r="M40" s="3">
        <f t="shared" si="1"/>
        <v>3.6055512754639891</v>
      </c>
      <c r="N40" s="3">
        <f t="shared" si="2"/>
        <v>2.2360679774997898</v>
      </c>
    </row>
    <row r="41" spans="1:14">
      <c r="A41">
        <v>3</v>
      </c>
      <c r="B41">
        <v>2.5</v>
      </c>
      <c r="C41">
        <f>$I$8 - 10*LOG10(L41/2.5)</f>
        <v>-60.936949131693645</v>
      </c>
      <c r="D41">
        <f>$I$8 - 10*LOG10(M41/2.5)</f>
        <v>-60.276362525516532</v>
      </c>
      <c r="E41">
        <f>$I$8 - 10*LOG10(N41/2.5)</f>
        <v>-59.322289946134589</v>
      </c>
      <c r="L41" s="3">
        <f t="shared" si="0"/>
        <v>3.905124837953327</v>
      </c>
      <c r="M41" s="3">
        <f t="shared" si="1"/>
        <v>3.3541019662496847</v>
      </c>
      <c r="N41" s="3">
        <f t="shared" si="2"/>
        <v>2.6925824035672519</v>
      </c>
    </row>
    <row r="42" spans="1:14">
      <c r="A42">
        <v>3</v>
      </c>
      <c r="B42">
        <v>3</v>
      </c>
      <c r="C42">
        <f>$I$8 - 10*LOG10(L42/2.5)</f>
        <v>-61.296962438796157</v>
      </c>
      <c r="D42">
        <f>$I$8 - 10*LOG10(M42/2.5)</f>
        <v>-60.020599913279625</v>
      </c>
      <c r="E42">
        <f>$I$8 - 10*LOG10(N42/2.5)</f>
        <v>-60.020599913279625</v>
      </c>
      <c r="L42" s="3">
        <f t="shared" si="0"/>
        <v>4.2426406871192848</v>
      </c>
      <c r="M42" s="3">
        <f t="shared" si="1"/>
        <v>3.1622776601683795</v>
      </c>
      <c r="N42" s="3">
        <f t="shared" si="2"/>
        <v>3.1622776601683795</v>
      </c>
    </row>
    <row r="43" spans="1:14">
      <c r="A43">
        <v>3</v>
      </c>
      <c r="B43">
        <v>3.5</v>
      </c>
      <c r="C43">
        <f>$I$8 - 10*LOG10(L43/2.5)</f>
        <v>-61.657394585211279</v>
      </c>
      <c r="D43">
        <f>$I$8 - 10*LOG10(M43/2.5)</f>
        <v>-59.851308576974787</v>
      </c>
      <c r="E43">
        <f>$I$8 - 10*LOG10(N43/2.5)</f>
        <v>-60.631679304643754</v>
      </c>
      <c r="L43" s="3">
        <f t="shared" si="0"/>
        <v>4.6097722286464435</v>
      </c>
      <c r="M43" s="3">
        <f t="shared" si="1"/>
        <v>3.0413812651491097</v>
      </c>
      <c r="N43" s="3">
        <f t="shared" si="2"/>
        <v>3.640054944640259</v>
      </c>
    </row>
    <row r="44" spans="1:14">
      <c r="A44">
        <v>3.5</v>
      </c>
      <c r="B44">
        <v>0.5</v>
      </c>
      <c r="C44">
        <f>$I$8 - 10*LOG10(L44/2.5)</f>
        <v>-60.505149978319906</v>
      </c>
      <c r="D44">
        <f>$I$8 - 10*LOG10(M44/2.5)</f>
        <v>-61.966430335102288</v>
      </c>
      <c r="E44">
        <f>$I$8 - 10*LOG10(N44/2.5)</f>
        <v>-53.515449934959719</v>
      </c>
      <c r="L44" s="3">
        <f t="shared" si="0"/>
        <v>3.5355339059327378</v>
      </c>
      <c r="M44" s="3">
        <f t="shared" si="1"/>
        <v>4.9497474683058327</v>
      </c>
      <c r="N44" s="3">
        <f t="shared" si="2"/>
        <v>0.70710678118654757</v>
      </c>
    </row>
    <row r="45" spans="1:14">
      <c r="A45">
        <v>3.5</v>
      </c>
      <c r="B45">
        <v>1</v>
      </c>
      <c r="C45">
        <f>$I$8 - 10*LOG10(L45/2.5)</f>
        <v>-60.631679304643754</v>
      </c>
      <c r="D45">
        <f>$I$8 - 10*LOG10(M45/2.5)</f>
        <v>-61.657394585211279</v>
      </c>
      <c r="E45">
        <f>$I$8 - 10*LOG10(N45/2.5)</f>
        <v>-55.505149978319906</v>
      </c>
      <c r="L45" s="3">
        <f t="shared" si="0"/>
        <v>3.640054944640259</v>
      </c>
      <c r="M45" s="3">
        <f t="shared" si="1"/>
        <v>4.6097722286464435</v>
      </c>
      <c r="N45" s="3">
        <f t="shared" si="2"/>
        <v>1.1180339887498949</v>
      </c>
    </row>
    <row r="46" spans="1:14">
      <c r="A46">
        <v>3.5</v>
      </c>
      <c r="B46">
        <v>1.5</v>
      </c>
      <c r="C46">
        <f>$I$8 - 10*LOG10(L46/2.5)</f>
        <v>-60.827439924454495</v>
      </c>
      <c r="D46">
        <f>$I$8 - 10*LOG10(M46/2.5)</f>
        <v>-61.356458555294694</v>
      </c>
      <c r="E46">
        <f>$I$8 - 10*LOG10(N46/2.5)</f>
        <v>-57.010299956639813</v>
      </c>
      <c r="L46" s="3">
        <f t="shared" si="0"/>
        <v>3.8078865529319543</v>
      </c>
      <c r="M46" s="3">
        <f t="shared" si="1"/>
        <v>4.3011626335213133</v>
      </c>
      <c r="N46" s="3">
        <f t="shared" si="2"/>
        <v>1.5811388300841898</v>
      </c>
    </row>
    <row r="47" spans="1:14">
      <c r="A47">
        <v>3.5</v>
      </c>
      <c r="B47">
        <v>2</v>
      </c>
      <c r="C47">
        <f>$I$8 - 10*LOG10(L47/2.5)</f>
        <v>-61.074866739854087</v>
      </c>
      <c r="D47">
        <f>$I$8 - 10*LOG10(M47/2.5)</f>
        <v>-61.074866739854087</v>
      </c>
      <c r="E47">
        <f>$I$8 - 10*LOG10(N47/2.5)</f>
        <v>-58.162544563531185</v>
      </c>
      <c r="L47" s="3">
        <f t="shared" si="0"/>
        <v>4.0311288741492746</v>
      </c>
      <c r="M47" s="3">
        <f t="shared" si="1"/>
        <v>4.0311288741492746</v>
      </c>
      <c r="N47" s="3">
        <f t="shared" si="2"/>
        <v>2.0615528128088303</v>
      </c>
    </row>
    <row r="48" spans="1:14">
      <c r="A48">
        <v>3.5</v>
      </c>
      <c r="B48">
        <v>2.5</v>
      </c>
      <c r="C48">
        <f>$I$8 - 10*LOG10(L48/2.5)</f>
        <v>-61.356458555294694</v>
      </c>
      <c r="D48">
        <f>$I$8 - 10*LOG10(M48/2.5)</f>
        <v>-60.827439924454495</v>
      </c>
      <c r="E48">
        <f>$I$8 - 10*LOG10(N48/2.5)</f>
        <v>-59.0851666964939</v>
      </c>
      <c r="L48" s="3">
        <f t="shared" si="0"/>
        <v>4.3011626335213133</v>
      </c>
      <c r="M48" s="3">
        <f t="shared" si="1"/>
        <v>3.8078865529319543</v>
      </c>
      <c r="N48" s="3">
        <f t="shared" si="2"/>
        <v>2.5495097567963922</v>
      </c>
    </row>
    <row r="49" spans="1:14">
      <c r="A49">
        <v>3.5</v>
      </c>
      <c r="B49">
        <v>3</v>
      </c>
      <c r="C49">
        <f>$I$8 - 10*LOG10(L49/2.5)</f>
        <v>-61.657394585211279</v>
      </c>
      <c r="D49">
        <f>$I$8 - 10*LOG10(M49/2.5)</f>
        <v>-60.631679304643754</v>
      </c>
      <c r="E49">
        <f>$I$8 - 10*LOG10(N49/2.5)</f>
        <v>-59.851308576974787</v>
      </c>
      <c r="L49" s="3">
        <f t="shared" si="0"/>
        <v>4.6097722286464435</v>
      </c>
      <c r="M49" s="3">
        <f t="shared" si="1"/>
        <v>3.640054944640259</v>
      </c>
      <c r="N49" s="3">
        <f t="shared" si="2"/>
        <v>3.0413812651491097</v>
      </c>
    </row>
    <row r="50" spans="1:14">
      <c r="A50">
        <v>3.5</v>
      </c>
      <c r="B50">
        <v>3.5</v>
      </c>
      <c r="C50">
        <f>$I$8 - 10*LOG10(L50/2.5)</f>
        <v>-61.966430335102288</v>
      </c>
      <c r="D50">
        <f>$I$8 - 10*LOG10(M50/2.5)</f>
        <v>-60.505149978319906</v>
      </c>
      <c r="E50">
        <f>$I$8 - 10*LOG10(N50/2.5)</f>
        <v>-60.505149978319906</v>
      </c>
      <c r="L50" s="3">
        <f t="shared" si="0"/>
        <v>4.9497474683058327</v>
      </c>
      <c r="M50" s="3">
        <f t="shared" si="1"/>
        <v>3.5355339059327378</v>
      </c>
      <c r="N50" s="3">
        <f>SQRT(POWER((A50-$H$6),2) + POWER((B50-$I$6),2))</f>
        <v>3.5355339059327378</v>
      </c>
    </row>
    <row r="51" spans="1:14">
      <c r="N51" s="3"/>
    </row>
    <row r="52" spans="1:14">
      <c r="N52" s="3"/>
    </row>
    <row r="53" spans="1:14">
      <c r="N53" s="3"/>
    </row>
    <row r="54" spans="1:14">
      <c r="N5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Sebastian</dc:creator>
  <cp:keywords/>
  <dc:description/>
  <cp:lastModifiedBy>Juan José Fernández González</cp:lastModifiedBy>
  <cp:revision/>
  <dcterms:created xsi:type="dcterms:W3CDTF">2018-01-18T21:14:49Z</dcterms:created>
  <dcterms:modified xsi:type="dcterms:W3CDTF">2026-02-13T06:49:45Z</dcterms:modified>
  <cp:category/>
  <cp:contentStatus/>
</cp:coreProperties>
</file>